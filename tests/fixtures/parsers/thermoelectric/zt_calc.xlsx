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IVI\Desktop\Research\Characterizations\Work 7 CuSe\Characterisation\"/>
    </mc:Choice>
  </mc:AlternateContent>
  <xr:revisionPtr revIDLastSave="0" documentId="13_ncr:1_{505C9E6E-6DC9-402C-96F3-A93D873C7EC8}" xr6:coauthVersionLast="47" xr6:coauthVersionMax="47" xr10:uidLastSave="{00000000-0000-0000-0000-000000000000}"/>
  <bookViews>
    <workbookView xWindow="-120" yWindow="-120" windowWidth="20730" windowHeight="11040" xr2:uid="{8BCFA490-4D65-468D-9602-29545010B6B7}"/>
  </bookViews>
  <sheets>
    <sheet name="CS" sheetId="4" r:id="rId1"/>
    <sheet name="CSCBI-1" sheetId="1" r:id="rId2"/>
    <sheet name="CSCBI-3" sheetId="2" r:id="rId3"/>
    <sheet name="CSCBI 5 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3" i="2"/>
  <c r="G4" i="4"/>
  <c r="I4" i="4" s="1"/>
  <c r="J4" i="4" s="1"/>
  <c r="G8" i="4"/>
  <c r="I8" i="4" s="1"/>
  <c r="J8" i="4" s="1"/>
  <c r="G12" i="4"/>
  <c r="I12" i="4" s="1"/>
  <c r="J12" i="4" s="1"/>
  <c r="G3" i="4"/>
  <c r="I3" i="4" s="1"/>
  <c r="J3" i="4" s="1"/>
  <c r="E4" i="4"/>
  <c r="E5" i="4"/>
  <c r="G5" i="4" s="1"/>
  <c r="I5" i="4" s="1"/>
  <c r="J5" i="4" s="1"/>
  <c r="E6" i="4"/>
  <c r="G6" i="4" s="1"/>
  <c r="I6" i="4" s="1"/>
  <c r="J6" i="4" s="1"/>
  <c r="E7" i="4"/>
  <c r="G7" i="4" s="1"/>
  <c r="I7" i="4" s="1"/>
  <c r="J7" i="4" s="1"/>
  <c r="E8" i="4"/>
  <c r="E9" i="4"/>
  <c r="G9" i="4" s="1"/>
  <c r="I9" i="4" s="1"/>
  <c r="J9" i="4" s="1"/>
  <c r="E10" i="4"/>
  <c r="G10" i="4" s="1"/>
  <c r="I10" i="4" s="1"/>
  <c r="J10" i="4" s="1"/>
  <c r="E11" i="4"/>
  <c r="G11" i="4" s="1"/>
  <c r="I11" i="4" s="1"/>
  <c r="J11" i="4" s="1"/>
  <c r="E12" i="4"/>
  <c r="E13" i="4"/>
  <c r="G13" i="4" s="1"/>
  <c r="I13" i="4" s="1"/>
  <c r="J13" i="4" s="1"/>
  <c r="E14" i="4"/>
  <c r="G14" i="4" s="1"/>
  <c r="I14" i="4" s="1"/>
  <c r="J14" i="4" s="1"/>
  <c r="E15" i="4"/>
  <c r="G15" i="4" s="1"/>
  <c r="I15" i="4" s="1"/>
  <c r="J15" i="4" s="1"/>
  <c r="E3" i="4"/>
  <c r="G12" i="3"/>
  <c r="E4" i="3"/>
  <c r="G4" i="3" s="1"/>
  <c r="H4" i="3" s="1"/>
  <c r="I4" i="3" s="1"/>
  <c r="E5" i="3"/>
  <c r="G5" i="3" s="1"/>
  <c r="E6" i="3"/>
  <c r="G6" i="3" s="1"/>
  <c r="H6" i="3" s="1"/>
  <c r="I6" i="3" s="1"/>
  <c r="E7" i="3"/>
  <c r="G7" i="3" s="1"/>
  <c r="H7" i="3" s="1"/>
  <c r="I7" i="3" s="1"/>
  <c r="E8" i="3"/>
  <c r="G8" i="3" s="1"/>
  <c r="E9" i="3"/>
  <c r="G9" i="3" s="1"/>
  <c r="E10" i="3"/>
  <c r="G10" i="3" s="1"/>
  <c r="H10" i="3" s="1"/>
  <c r="I10" i="3" s="1"/>
  <c r="E11" i="3"/>
  <c r="G11" i="3" s="1"/>
  <c r="H11" i="3" s="1"/>
  <c r="I11" i="3" s="1"/>
  <c r="E12" i="3"/>
  <c r="E13" i="3"/>
  <c r="G13" i="3" s="1"/>
  <c r="E14" i="3"/>
  <c r="G14" i="3" s="1"/>
  <c r="H14" i="3" s="1"/>
  <c r="I14" i="3" s="1"/>
  <c r="E15" i="3"/>
  <c r="G15" i="3" s="1"/>
  <c r="H15" i="3" s="1"/>
  <c r="I15" i="3" s="1"/>
  <c r="E3" i="3"/>
  <c r="G3" i="3" s="1"/>
  <c r="H3" i="3" s="1"/>
  <c r="I3" i="3" s="1"/>
  <c r="E4" i="2"/>
  <c r="F4" i="2" s="1"/>
  <c r="G4" i="2" s="1"/>
  <c r="H4" i="2" s="1"/>
  <c r="E5" i="2"/>
  <c r="F5" i="2" s="1"/>
  <c r="G5" i="2" s="1"/>
  <c r="H5" i="2" s="1"/>
  <c r="E6" i="2"/>
  <c r="F6" i="2" s="1"/>
  <c r="G6" i="2" s="1"/>
  <c r="H6" i="2" s="1"/>
  <c r="E7" i="2"/>
  <c r="F7" i="2" s="1"/>
  <c r="G7" i="2" s="1"/>
  <c r="H7" i="2" s="1"/>
  <c r="E8" i="2"/>
  <c r="F8" i="2" s="1"/>
  <c r="G8" i="2" s="1"/>
  <c r="H8" i="2" s="1"/>
  <c r="E9" i="2"/>
  <c r="F9" i="2" s="1"/>
  <c r="G9" i="2" s="1"/>
  <c r="H9" i="2" s="1"/>
  <c r="E10" i="2"/>
  <c r="F10" i="2" s="1"/>
  <c r="G10" i="2" s="1"/>
  <c r="H10" i="2" s="1"/>
  <c r="E11" i="2"/>
  <c r="F11" i="2" s="1"/>
  <c r="G11" i="2" s="1"/>
  <c r="H11" i="2" s="1"/>
  <c r="E12" i="2"/>
  <c r="F12" i="2" s="1"/>
  <c r="G12" i="2" s="1"/>
  <c r="H12" i="2" s="1"/>
  <c r="E13" i="2"/>
  <c r="F13" i="2" s="1"/>
  <c r="G13" i="2" s="1"/>
  <c r="H13" i="2" s="1"/>
  <c r="E14" i="2"/>
  <c r="F14" i="2" s="1"/>
  <c r="G14" i="2" s="1"/>
  <c r="H14" i="2" s="1"/>
  <c r="E15" i="2"/>
  <c r="F15" i="2" s="1"/>
  <c r="G15" i="2" s="1"/>
  <c r="H15" i="2" s="1"/>
  <c r="E3" i="2"/>
  <c r="F3" i="2" s="1"/>
  <c r="G3" i="2" s="1"/>
  <c r="H3" i="2" s="1"/>
  <c r="E3" i="1"/>
  <c r="F3" i="1" s="1"/>
  <c r="G3" i="1" s="1"/>
  <c r="H3" i="1" s="1"/>
  <c r="E4" i="1"/>
  <c r="F4" i="1" s="1"/>
  <c r="E5" i="1"/>
  <c r="F5" i="1" s="1"/>
  <c r="G5" i="1" s="1"/>
  <c r="H5" i="1" s="1"/>
  <c r="E6" i="1"/>
  <c r="F6" i="1" s="1"/>
  <c r="G6" i="1" s="1"/>
  <c r="H6" i="1" s="1"/>
  <c r="E7" i="1"/>
  <c r="F7" i="1" s="1"/>
  <c r="G7" i="1" s="1"/>
  <c r="H7" i="1" s="1"/>
  <c r="E8" i="1"/>
  <c r="F8" i="1" s="1"/>
  <c r="E9" i="1"/>
  <c r="F9" i="1" s="1"/>
  <c r="G9" i="1" s="1"/>
  <c r="H9" i="1" s="1"/>
  <c r="E10" i="1"/>
  <c r="F10" i="1" s="1"/>
  <c r="G10" i="1" s="1"/>
  <c r="H10" i="1" s="1"/>
  <c r="E11" i="1"/>
  <c r="F11" i="1" s="1"/>
  <c r="G11" i="1" s="1"/>
  <c r="H11" i="1" s="1"/>
  <c r="E12" i="1"/>
  <c r="F12" i="1" s="1"/>
  <c r="E13" i="1"/>
  <c r="F13" i="1" s="1"/>
  <c r="G13" i="1" s="1"/>
  <c r="H13" i="1" s="1"/>
  <c r="E14" i="1"/>
  <c r="F14" i="1" s="1"/>
  <c r="G14" i="1" s="1"/>
  <c r="H14" i="1" s="1"/>
  <c r="E15" i="1"/>
  <c r="F15" i="1" s="1"/>
  <c r="G15" i="1" s="1"/>
  <c r="H15" i="1" s="1"/>
  <c r="H13" i="3" l="1"/>
  <c r="I13" i="3" s="1"/>
  <c r="H9" i="3"/>
  <c r="I9" i="3" s="1"/>
  <c r="H5" i="3"/>
  <c r="I5" i="3" s="1"/>
  <c r="H12" i="3"/>
  <c r="I12" i="3" s="1"/>
  <c r="H8" i="3"/>
  <c r="I8" i="3" s="1"/>
  <c r="G12" i="1"/>
  <c r="H12" i="1" s="1"/>
  <c r="G8" i="1"/>
  <c r="H8" i="1" s="1"/>
  <c r="G4" i="1"/>
  <c r="H4" i="1" s="1"/>
</calcChain>
</file>

<file path=xl/sharedStrings.xml><?xml version="1.0" encoding="utf-8"?>
<sst xmlns="http://schemas.openxmlformats.org/spreadsheetml/2006/main" count="28" uniqueCount="7">
  <si>
    <t xml:space="preserve">zT </t>
  </si>
  <si>
    <t>PF*T</t>
  </si>
  <si>
    <t>Temperature (K)</t>
  </si>
  <si>
    <t>Resistivity (Ohm.m)</t>
  </si>
  <si>
    <t>Thermal conductivity (Wm-1K-1)</t>
  </si>
  <si>
    <t>Seebeck Coefficient (microvolt/K)</t>
  </si>
  <si>
    <t>Powerfactor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</si>
</sst>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2" borderId="0" xfId="0" applyFont="1" applyFill="1"/>
    <xf numFmtId="0" fontId="3" fillId="4" borderId="0" xfId="0" applyFont="1" applyFill="1"/>
    <xf numFmtId="0" fontId="0" fillId="5" borderId="0" xfId="0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FC6B-1A04-44FD-9D9B-1779AD9A5CA5}">
  <dimension ref="A2:J15"/>
  <sheetViews>
    <sheetView tabSelected="1" workbookViewId="0">
      <selection activeCell="C19" sqref="C19"/>
    </sheetView>
  </sheetViews>
  <sheetFormatPr defaultRowHeight="15" x14ac:dyDescent="0.25"/>
  <cols>
    <col min="1" max="1" width="15.28515625" bestFit="1" customWidth="1"/>
    <col min="2" max="2" width="18.42578125" bestFit="1" customWidth="1"/>
    <col min="3" max="3" width="29.85546875" bestFit="1" customWidth="1"/>
    <col min="4" max="4" width="30.5703125" bestFit="1" customWidth="1"/>
    <col min="5" max="5" width="12" bestFit="1" customWidth="1"/>
    <col min="10" max="10" width="12" bestFit="1" customWidth="1"/>
  </cols>
  <sheetData>
    <row r="2" spans="1:10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1</v>
      </c>
      <c r="I2" t="s">
        <v>0</v>
      </c>
    </row>
    <row r="3" spans="1:10" x14ac:dyDescent="0.25">
      <c r="A3">
        <v>300</v>
      </c>
      <c r="B3" s="6">
        <v>0.12439999999999998</v>
      </c>
      <c r="C3" s="4">
        <v>5.1455132888366748</v>
      </c>
      <c r="D3" s="5">
        <v>7.8522999999999996</v>
      </c>
      <c r="E3">
        <f>(D3*D3)/B3</f>
        <v>495.64803287781353</v>
      </c>
      <c r="G3">
        <f>E3*A3</f>
        <v>148694.40986334407</v>
      </c>
      <c r="I3">
        <f>G3/C3</f>
        <v>28897.876949601992</v>
      </c>
      <c r="J3">
        <f>I3/1000000</f>
        <v>2.8897876949601994E-2</v>
      </c>
    </row>
    <row r="4" spans="1:10" x14ac:dyDescent="0.25">
      <c r="A4">
        <v>325</v>
      </c>
      <c r="B4" s="6">
        <v>0.13014000000000001</v>
      </c>
      <c r="C4" s="4">
        <v>5.120560357629647</v>
      </c>
      <c r="D4" s="5">
        <v>7.9504999999999999</v>
      </c>
      <c r="E4">
        <f>(D4*D4)/B4</f>
        <v>485.71115913631473</v>
      </c>
      <c r="G4">
        <f>E4*A4</f>
        <v>157856.12671930229</v>
      </c>
      <c r="I4">
        <f>G4/C4</f>
        <v>30827.900794899586</v>
      </c>
      <c r="J4">
        <f t="shared" ref="J4:J15" si="0">I4/1000000</f>
        <v>3.0827900794899585E-2</v>
      </c>
    </row>
    <row r="5" spans="1:10" x14ac:dyDescent="0.25">
      <c r="A5">
        <v>350</v>
      </c>
      <c r="B5" s="6">
        <v>0.14671000000000001</v>
      </c>
      <c r="C5" s="4">
        <v>4.9463632021663972</v>
      </c>
      <c r="D5" s="5">
        <v>9.1351999999999993</v>
      </c>
      <c r="E5">
        <f>(D5*D5)/B5</f>
        <v>568.82202331129429</v>
      </c>
      <c r="G5">
        <f>E5*A5</f>
        <v>199087.708158953</v>
      </c>
      <c r="I5">
        <f>G5/C5</f>
        <v>40249.310457379477</v>
      </c>
      <c r="J5">
        <f t="shared" si="0"/>
        <v>4.0249310457379478E-2</v>
      </c>
    </row>
    <row r="6" spans="1:10" x14ac:dyDescent="0.25">
      <c r="A6">
        <v>375</v>
      </c>
      <c r="B6" s="6">
        <v>0.16039999999999999</v>
      </c>
      <c r="C6" s="4">
        <v>4.8275815575757202</v>
      </c>
      <c r="D6" s="5">
        <v>10.518800000000001</v>
      </c>
      <c r="E6">
        <f>(D6*D6)/B6</f>
        <v>689.80768977556124</v>
      </c>
      <c r="G6">
        <f>E6*A6</f>
        <v>258677.88366583546</v>
      </c>
      <c r="I6">
        <f>G6/C6</f>
        <v>53583.327506896938</v>
      </c>
      <c r="J6">
        <f t="shared" si="0"/>
        <v>5.3583327506896941E-2</v>
      </c>
    </row>
    <row r="7" spans="1:10" x14ac:dyDescent="0.25">
      <c r="A7">
        <v>400</v>
      </c>
      <c r="B7" s="6">
        <v>0.17127000000000001</v>
      </c>
      <c r="C7" s="4">
        <v>4.7374063670983864</v>
      </c>
      <c r="D7" s="5">
        <v>11.3886</v>
      </c>
      <c r="E7">
        <f>(D7*D7)/B7</f>
        <v>757.2850467682606</v>
      </c>
      <c r="G7">
        <f>E7*A7</f>
        <v>302914.01870730426</v>
      </c>
      <c r="I7">
        <f>G7/C7</f>
        <v>63940.898296389139</v>
      </c>
      <c r="J7">
        <f t="shared" si="0"/>
        <v>6.3940898296389145E-2</v>
      </c>
    </row>
    <row r="8" spans="1:10" x14ac:dyDescent="0.25">
      <c r="A8">
        <v>425</v>
      </c>
      <c r="B8" s="6">
        <v>0.18428</v>
      </c>
      <c r="C8" s="4">
        <v>4.6402539556860294</v>
      </c>
      <c r="D8" s="5">
        <v>13.806699999999999</v>
      </c>
      <c r="E8">
        <f>(D8*D8)/B8</f>
        <v>1034.4311096700671</v>
      </c>
      <c r="G8">
        <f>E8*A8</f>
        <v>439633.22160977853</v>
      </c>
      <c r="I8">
        <f>G8/C8</f>
        <v>94743.35366301774</v>
      </c>
      <c r="J8">
        <f t="shared" si="0"/>
        <v>9.474335366301774E-2</v>
      </c>
    </row>
    <row r="9" spans="1:10" x14ac:dyDescent="0.25">
      <c r="A9">
        <v>450</v>
      </c>
      <c r="B9" s="6">
        <v>0.19705</v>
      </c>
      <c r="C9" s="4">
        <v>4.5572228828623071</v>
      </c>
      <c r="D9" s="5">
        <v>16.36</v>
      </c>
      <c r="E9">
        <f>(D9*D9)/B9</f>
        <v>1358.2826693732552</v>
      </c>
      <c r="G9">
        <f>E9*A9</f>
        <v>611227.20121796487</v>
      </c>
      <c r="I9">
        <f>G9/C9</f>
        <v>134122.73591368971</v>
      </c>
      <c r="J9">
        <f t="shared" si="0"/>
        <v>0.1341227359136897</v>
      </c>
    </row>
    <row r="10" spans="1:10" x14ac:dyDescent="0.25">
      <c r="A10">
        <v>475</v>
      </c>
      <c r="B10" s="6">
        <v>0.21199999999999999</v>
      </c>
      <c r="C10" s="4">
        <v>4.4502499942548912</v>
      </c>
      <c r="D10" s="5">
        <v>19.096399999999999</v>
      </c>
      <c r="E10">
        <f>(D10*D10)/B10</f>
        <v>1720.153268679245</v>
      </c>
      <c r="G10">
        <f>E10*A10</f>
        <v>817072.80262264132</v>
      </c>
      <c r="I10">
        <f>G10/C10</f>
        <v>183601.55130103976</v>
      </c>
      <c r="J10">
        <f t="shared" si="0"/>
        <v>0.18360155130103975</v>
      </c>
    </row>
    <row r="11" spans="1:10" x14ac:dyDescent="0.25">
      <c r="A11">
        <v>500</v>
      </c>
      <c r="B11" s="6">
        <v>0.22484999999999999</v>
      </c>
      <c r="C11" s="4">
        <v>4.3553087260360126</v>
      </c>
      <c r="D11" s="5">
        <v>21.819900000000001</v>
      </c>
      <c r="E11">
        <f>(D11*D11)/B11</f>
        <v>2117.4473471647766</v>
      </c>
      <c r="G11">
        <f>E11*A11</f>
        <v>1058723.6735823883</v>
      </c>
      <c r="I11">
        <f>G11/C11</f>
        <v>243088.08862465795</v>
      </c>
      <c r="J11">
        <f t="shared" si="0"/>
        <v>0.24308808862465794</v>
      </c>
    </row>
    <row r="12" spans="1:10" x14ac:dyDescent="0.25">
      <c r="A12">
        <v>525</v>
      </c>
      <c r="B12" s="6">
        <v>0.23618</v>
      </c>
      <c r="C12" s="4">
        <v>4.3024086722394586</v>
      </c>
      <c r="D12" s="5">
        <v>24.439399999999999</v>
      </c>
      <c r="E12">
        <f>(D12*D12)/B12</f>
        <v>2528.9367108137858</v>
      </c>
      <c r="G12">
        <f>E12*A12</f>
        <v>1327691.7731772375</v>
      </c>
      <c r="I12">
        <f>G12/C12</f>
        <v>308592.66850774473</v>
      </c>
      <c r="J12">
        <f t="shared" si="0"/>
        <v>0.30859266850774475</v>
      </c>
    </row>
    <row r="13" spans="1:10" x14ac:dyDescent="0.25">
      <c r="A13">
        <v>550</v>
      </c>
      <c r="B13" s="6">
        <v>0.24909999999999999</v>
      </c>
      <c r="C13" s="4">
        <v>4.1634384084056748</v>
      </c>
      <c r="D13" s="5">
        <v>27.227799999999998</v>
      </c>
      <c r="E13">
        <f>(D13*D13)/B13</f>
        <v>2976.1264264953834</v>
      </c>
      <c r="G13">
        <f>E13*A13</f>
        <v>1636869.5345724609</v>
      </c>
      <c r="I13">
        <f>G13/C13</f>
        <v>393153.2963878467</v>
      </c>
      <c r="J13">
        <f t="shared" si="0"/>
        <v>0.39315329638784668</v>
      </c>
    </row>
    <row r="14" spans="1:10" x14ac:dyDescent="0.25">
      <c r="A14">
        <v>575</v>
      </c>
      <c r="B14" s="6">
        <v>0.25947999999999999</v>
      </c>
      <c r="C14" s="4">
        <v>4.2834757854832768</v>
      </c>
      <c r="D14" s="5">
        <v>29.8505</v>
      </c>
      <c r="E14">
        <f>(D14*D14)/B14</f>
        <v>3433.9924088561743</v>
      </c>
      <c r="G14">
        <f>E14*A14</f>
        <v>1974545.6350923001</v>
      </c>
      <c r="I14">
        <f>G14/C14</f>
        <v>460968.08619393769</v>
      </c>
      <c r="J14">
        <f t="shared" si="0"/>
        <v>0.4609680861939377</v>
      </c>
    </row>
    <row r="15" spans="1:10" x14ac:dyDescent="0.25">
      <c r="A15">
        <v>600</v>
      </c>
      <c r="B15" s="6">
        <v>0.27071000000000001</v>
      </c>
      <c r="C15" s="4">
        <v>4.0809609957002504</v>
      </c>
      <c r="D15" s="5">
        <v>32.878399999999999</v>
      </c>
      <c r="E15">
        <f>(D15*D15)/B15</f>
        <v>3993.1631138857078</v>
      </c>
      <c r="G15">
        <f>E15*A15</f>
        <v>2395897.8683314249</v>
      </c>
      <c r="I15">
        <f>G15/C15</f>
        <v>587091.58721579832</v>
      </c>
      <c r="J15">
        <f t="shared" si="0"/>
        <v>0.58709158721579835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D4A1-B769-4789-88D4-A0F95247B7C9}">
  <dimension ref="A2:K15"/>
  <sheetViews>
    <sheetView workbookViewId="0">
      <selection activeCell="A2" sqref="A2:E2"/>
    </sheetView>
  </sheetViews>
  <sheetFormatPr defaultRowHeight="15" x14ac:dyDescent="0.25"/>
  <cols>
    <col min="1" max="1" width="15.28515625" bestFit="1" customWidth="1"/>
    <col min="2" max="2" width="18.42578125" bestFit="1" customWidth="1"/>
    <col min="3" max="3" width="29.85546875" bestFit="1" customWidth="1"/>
    <col min="4" max="4" width="30.5703125" bestFit="1" customWidth="1"/>
    <col min="5" max="5" width="12" bestFit="1" customWidth="1"/>
  </cols>
  <sheetData>
    <row r="2" spans="1:1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1</v>
      </c>
      <c r="H2" t="s">
        <v>0</v>
      </c>
    </row>
    <row r="3" spans="1:11" x14ac:dyDescent="0.25">
      <c r="A3">
        <v>300</v>
      </c>
      <c r="B3" s="1">
        <v>0.15360000000000001</v>
      </c>
      <c r="C3" s="4">
        <v>2.0312736174447341</v>
      </c>
      <c r="D3">
        <v>6.2619999999999996</v>
      </c>
      <c r="E3">
        <f>(D3*D3)/B3</f>
        <v>255.29065104166662</v>
      </c>
      <c r="F3">
        <f>E3*A3</f>
        <v>76587.195312499985</v>
      </c>
      <c r="G3">
        <f>F3/C3</f>
        <v>37704.026998019006</v>
      </c>
      <c r="H3" s="2">
        <f>G3/1000000</f>
        <v>3.7704026998019009E-2</v>
      </c>
      <c r="K3" s="2">
        <v>6.2791830214396965E-2</v>
      </c>
    </row>
    <row r="4" spans="1:11" x14ac:dyDescent="0.25">
      <c r="A4">
        <v>325</v>
      </c>
      <c r="B4" s="1">
        <v>0.1532</v>
      </c>
      <c r="C4" s="4">
        <v>2.3231892352436434</v>
      </c>
      <c r="D4">
        <v>6.4291999999999998</v>
      </c>
      <c r="E4">
        <f>(D4*D4)/B4</f>
        <v>269.80817650130547</v>
      </c>
      <c r="F4">
        <f>E4*A4</f>
        <v>87687.657362924278</v>
      </c>
      <c r="G4">
        <f>F4/C4</f>
        <v>37744.517765780744</v>
      </c>
      <c r="H4" s="2">
        <f t="shared" ref="H4:H15" si="0">G4/1000000</f>
        <v>3.7744517765780743E-2</v>
      </c>
      <c r="K4" s="2">
        <v>4.8693723546714952E-2</v>
      </c>
    </row>
    <row r="5" spans="1:11" x14ac:dyDescent="0.25">
      <c r="A5">
        <v>350</v>
      </c>
      <c r="B5" s="1">
        <v>0.16879</v>
      </c>
      <c r="C5" s="4">
        <v>2.1767110016754199</v>
      </c>
      <c r="D5">
        <v>6.8753000000000002</v>
      </c>
      <c r="E5">
        <f>(D5*D5)/B5</f>
        <v>280.05065519284318</v>
      </c>
      <c r="F5">
        <f>E5*A5</f>
        <v>98017.729317495119</v>
      </c>
      <c r="G5">
        <f>F5/C5</f>
        <v>45030.198883568206</v>
      </c>
      <c r="H5" s="2">
        <f t="shared" si="0"/>
        <v>4.5030198883568205E-2</v>
      </c>
      <c r="K5" s="2">
        <v>5.6154528397304566E-2</v>
      </c>
    </row>
    <row r="6" spans="1:11" x14ac:dyDescent="0.25">
      <c r="A6">
        <v>375</v>
      </c>
      <c r="B6" s="1">
        <v>0.18344999999999997</v>
      </c>
      <c r="C6" s="4">
        <v>2.1690854045472205</v>
      </c>
      <c r="D6">
        <v>7.7442000000000002</v>
      </c>
      <c r="E6">
        <f>(D6*D6)/B6</f>
        <v>326.91541913327887</v>
      </c>
      <c r="F6">
        <f>E6*A6</f>
        <v>122593.28217497958</v>
      </c>
      <c r="G6">
        <f>F6/C6</f>
        <v>56518.421044177354</v>
      </c>
      <c r="H6" s="2">
        <f t="shared" si="0"/>
        <v>5.6518421044177355E-2</v>
      </c>
      <c r="K6" s="2">
        <v>7.263926182080914E-2</v>
      </c>
    </row>
    <row r="7" spans="1:11" x14ac:dyDescent="0.25">
      <c r="A7">
        <v>400</v>
      </c>
      <c r="B7" s="1">
        <v>0.19374</v>
      </c>
      <c r="C7" s="4">
        <v>2.2583023045970272</v>
      </c>
      <c r="D7">
        <v>8.8325999999999993</v>
      </c>
      <c r="E7">
        <f>(D7*D7)/B7</f>
        <v>402.67793310622477</v>
      </c>
      <c r="F7">
        <f>E7*A7</f>
        <v>161071.17324248989</v>
      </c>
      <c r="G7">
        <f>F7/C7</f>
        <v>71324.008709822185</v>
      </c>
      <c r="H7" s="2">
        <f t="shared" si="0"/>
        <v>7.1324008709822181E-2</v>
      </c>
      <c r="K7" s="2">
        <v>9.3499258862535503E-2</v>
      </c>
    </row>
    <row r="8" spans="1:11" x14ac:dyDescent="0.25">
      <c r="A8">
        <v>425</v>
      </c>
      <c r="B8" s="1">
        <v>0.19844999999999996</v>
      </c>
      <c r="C8" s="4">
        <v>2.3190664461745301</v>
      </c>
      <c r="D8">
        <v>10.6136</v>
      </c>
      <c r="E8">
        <f>(D8*D8)/B8</f>
        <v>567.64174834971038</v>
      </c>
      <c r="F8">
        <f>E8*A8</f>
        <v>241247.7430486269</v>
      </c>
      <c r="G8">
        <f>F8/C8</f>
        <v>104027.95635570629</v>
      </c>
      <c r="H8" s="2">
        <f t="shared" si="0"/>
        <v>0.10402795635570629</v>
      </c>
      <c r="K8" s="2">
        <v>0.13820333584362218</v>
      </c>
    </row>
    <row r="9" spans="1:11" x14ac:dyDescent="0.25">
      <c r="A9">
        <v>450</v>
      </c>
      <c r="B9" s="1">
        <v>0.21060999999999999</v>
      </c>
      <c r="C9" s="4">
        <v>2.3573355881054656</v>
      </c>
      <c r="D9">
        <v>12.3931</v>
      </c>
      <c r="E9">
        <f>(D9*D9)/B9</f>
        <v>729.25752628080352</v>
      </c>
      <c r="F9">
        <f>E9*A9</f>
        <v>328165.88682636159</v>
      </c>
      <c r="G9">
        <f>F9/C9</f>
        <v>139210.50888223373</v>
      </c>
      <c r="H9" s="2">
        <f t="shared" si="0"/>
        <v>0.13921050888223374</v>
      </c>
      <c r="K9" s="2">
        <v>0.18704239773517331</v>
      </c>
    </row>
    <row r="10" spans="1:11" x14ac:dyDescent="0.25">
      <c r="A10">
        <v>475</v>
      </c>
      <c r="B10" s="1">
        <v>0.22261999999999998</v>
      </c>
      <c r="C10" s="4">
        <v>2.3812254369140611</v>
      </c>
      <c r="D10">
        <v>14.5228</v>
      </c>
      <c r="E10">
        <f>(D10*D10)/B10</f>
        <v>947.40688096307622</v>
      </c>
      <c r="F10">
        <f>E10*A10</f>
        <v>450018.26845746121</v>
      </c>
      <c r="G10">
        <f>F10/C10</f>
        <v>188985.99917555915</v>
      </c>
      <c r="H10" s="2">
        <f t="shared" si="0"/>
        <v>0.18898599917555914</v>
      </c>
      <c r="K10" s="2">
        <v>0.25755066013704642</v>
      </c>
    </row>
    <row r="11" spans="1:11" x14ac:dyDescent="0.25">
      <c r="A11">
        <v>500</v>
      </c>
      <c r="B11" s="1">
        <v>0.23580999999999999</v>
      </c>
      <c r="C11" s="4">
        <v>2.3613721225057898</v>
      </c>
      <c r="D11">
        <v>16.624700000000001</v>
      </c>
      <c r="E11">
        <f>(D11*D11)/B11</f>
        <v>1172.0480475382724</v>
      </c>
      <c r="F11">
        <f>E11*A11</f>
        <v>586024.02376913617</v>
      </c>
      <c r="G11">
        <f>F11/C11</f>
        <v>248170.9757576336</v>
      </c>
      <c r="H11" s="2">
        <f t="shared" si="0"/>
        <v>0.24817097575763361</v>
      </c>
      <c r="K11" s="2">
        <v>0.34055324486816374</v>
      </c>
    </row>
    <row r="12" spans="1:11" x14ac:dyDescent="0.25">
      <c r="A12">
        <v>525</v>
      </c>
      <c r="B12" s="1">
        <v>0.24742999999999998</v>
      </c>
      <c r="C12" s="4">
        <v>2.5047033712279236</v>
      </c>
      <c r="D12">
        <v>18.514399999999998</v>
      </c>
      <c r="E12">
        <f>(D12*D12)/B12</f>
        <v>1385.3736707755727</v>
      </c>
      <c r="F12">
        <f>E12*A12</f>
        <v>727321.17715717561</v>
      </c>
      <c r="G12">
        <f>F12/C12</f>
        <v>290382.16082274384</v>
      </c>
      <c r="H12" s="2">
        <f t="shared" si="0"/>
        <v>0.29038216082274382</v>
      </c>
      <c r="K12" s="2">
        <v>0.4059391511732855</v>
      </c>
    </row>
    <row r="13" spans="1:11" x14ac:dyDescent="0.25">
      <c r="A13">
        <v>550</v>
      </c>
      <c r="B13" s="1">
        <v>0.25945000000000001</v>
      </c>
      <c r="C13" s="4">
        <v>2.7748992032109778</v>
      </c>
      <c r="D13">
        <v>20.449300000000001</v>
      </c>
      <c r="E13">
        <f>(D13*D13)/B13</f>
        <v>1611.7705549816919</v>
      </c>
      <c r="F13">
        <f>E13*A13</f>
        <v>886473.80523993052</v>
      </c>
      <c r="G13">
        <f>F13/C13</f>
        <v>319461.62376426009</v>
      </c>
      <c r="H13" s="2">
        <f t="shared" si="0"/>
        <v>0.31946162376426007</v>
      </c>
      <c r="K13" s="2">
        <v>0.45481186457335715</v>
      </c>
    </row>
    <row r="14" spans="1:11" x14ac:dyDescent="0.25">
      <c r="A14">
        <v>575</v>
      </c>
      <c r="B14" s="1">
        <v>0.27469999999999994</v>
      </c>
      <c r="C14" s="4">
        <v>3.1225390385469618</v>
      </c>
      <c r="D14">
        <v>22.559799999999999</v>
      </c>
      <c r="E14">
        <f>(D14*D14)/B14</f>
        <v>1852.7287078267202</v>
      </c>
      <c r="F14">
        <f>E14*A14</f>
        <v>1065319.0070003641</v>
      </c>
      <c r="G14">
        <f>F14/C14</f>
        <v>341170.75682618149</v>
      </c>
      <c r="H14" s="2">
        <f t="shared" si="0"/>
        <v>0.34117075682618148</v>
      </c>
      <c r="K14" s="2">
        <v>0.60667369419155126</v>
      </c>
    </row>
    <row r="15" spans="1:11" x14ac:dyDescent="0.25">
      <c r="A15">
        <v>600</v>
      </c>
      <c r="B15" s="1">
        <v>0.28554999999999997</v>
      </c>
      <c r="C15" s="4">
        <v>3.4236234682043234</v>
      </c>
      <c r="D15">
        <v>24.296399999999998</v>
      </c>
      <c r="E15">
        <f>(D15*D15)/B15</f>
        <v>2067.2913779022938</v>
      </c>
      <c r="F15">
        <f>E15*A15</f>
        <v>1240374.8267413762</v>
      </c>
      <c r="G15">
        <f>F15/C15</f>
        <v>362298.8445607156</v>
      </c>
      <c r="H15" s="2">
        <f t="shared" si="0"/>
        <v>0.36229884456071559</v>
      </c>
      <c r="K15" s="2">
        <v>0.68559298404895874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C3F9-CA7F-4506-9491-00C9FE74CD6C}">
  <dimension ref="A2:M15"/>
  <sheetViews>
    <sheetView workbookViewId="0">
      <selection activeCell="A2" sqref="A2:E2"/>
    </sheetView>
  </sheetViews>
  <sheetFormatPr defaultRowHeight="15" x14ac:dyDescent="0.25"/>
  <cols>
    <col min="1" max="1" width="15.28515625" bestFit="1" customWidth="1"/>
    <col min="2" max="2" width="18.42578125" bestFit="1" customWidth="1"/>
    <col min="3" max="3" width="29.85546875" bestFit="1" customWidth="1"/>
    <col min="4" max="4" width="30.5703125" bestFit="1" customWidth="1"/>
    <col min="5" max="6" width="12" bestFit="1" customWidth="1"/>
  </cols>
  <sheetData>
    <row r="2" spans="1:13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1</v>
      </c>
      <c r="H2" t="s">
        <v>0</v>
      </c>
    </row>
    <row r="3" spans="1:13" x14ac:dyDescent="0.25">
      <c r="A3">
        <v>300</v>
      </c>
      <c r="B3" s="3">
        <v>0.15709999999999999</v>
      </c>
      <c r="C3" s="4">
        <v>1.2792281073132847</v>
      </c>
      <c r="D3">
        <v>6.8536999999999999</v>
      </c>
      <c r="E3">
        <f>(D3*D3)/B3</f>
        <v>299.00193309993637</v>
      </c>
      <c r="F3">
        <f>E3*A3</f>
        <v>89700.579929980915</v>
      </c>
      <c r="G3">
        <f>F3/C3</f>
        <v>70120.863837471261</v>
      </c>
      <c r="H3">
        <f>G3/1000000</f>
        <v>7.0120863837471265E-2</v>
      </c>
      <c r="K3">
        <v>0.10687546756818886</v>
      </c>
      <c r="M3">
        <f>B3/1000</f>
        <v>1.571E-4</v>
      </c>
    </row>
    <row r="4" spans="1:13" x14ac:dyDescent="0.25">
      <c r="A4">
        <v>325</v>
      </c>
      <c r="B4" s="3">
        <v>0.15800000000000003</v>
      </c>
      <c r="C4" s="4">
        <v>1.5246509837481232</v>
      </c>
      <c r="D4">
        <v>6.8723000000000001</v>
      </c>
      <c r="E4">
        <f>(D4*D4)/B4</f>
        <v>298.91460310126581</v>
      </c>
      <c r="F4">
        <f>E4*A4</f>
        <v>97147.246007911395</v>
      </c>
      <c r="G4">
        <f>F4/C4</f>
        <v>63717.694766502966</v>
      </c>
      <c r="H4">
        <f t="shared" ref="H4:H15" si="0">G4/1000000</f>
        <v>6.3717694766502964E-2</v>
      </c>
      <c r="K4">
        <v>9.6673545634303318E-2</v>
      </c>
      <c r="M4">
        <f t="shared" ref="M4:M15" si="1">B4/1000</f>
        <v>1.5800000000000002E-4</v>
      </c>
    </row>
    <row r="5" spans="1:13" x14ac:dyDescent="0.25">
      <c r="A5">
        <v>350</v>
      </c>
      <c r="B5" s="3">
        <v>0.16895000000000002</v>
      </c>
      <c r="C5" s="4">
        <v>1.3644313184678247</v>
      </c>
      <c r="D5">
        <v>7.6214000000000004</v>
      </c>
      <c r="E5">
        <f>(D5*D5)/B5</f>
        <v>343.80430873039359</v>
      </c>
      <c r="F5">
        <f>E5*A5</f>
        <v>120331.50805563775</v>
      </c>
      <c r="G5">
        <f>F5/C5</f>
        <v>88191.693071632864</v>
      </c>
      <c r="H5">
        <f t="shared" si="0"/>
        <v>8.8191693071632868E-2</v>
      </c>
      <c r="K5">
        <v>0.11771816479714121</v>
      </c>
      <c r="M5">
        <f t="shared" si="1"/>
        <v>1.6895000000000001E-4</v>
      </c>
    </row>
    <row r="6" spans="1:13" x14ac:dyDescent="0.25">
      <c r="A6">
        <v>375</v>
      </c>
      <c r="B6" s="3">
        <v>0.16982000000000003</v>
      </c>
      <c r="C6" s="4">
        <v>1.3978762797776751</v>
      </c>
      <c r="D6">
        <v>8.6713000000000005</v>
      </c>
      <c r="E6">
        <f>(D6*D6)/B6</f>
        <v>442.77142674596632</v>
      </c>
      <c r="F6">
        <f>E6*A6</f>
        <v>166039.28502973737</v>
      </c>
      <c r="G6">
        <f>F6/C6</f>
        <v>118779.67129976985</v>
      </c>
      <c r="H6">
        <f t="shared" si="0"/>
        <v>0.11877967129976985</v>
      </c>
      <c r="K6">
        <v>0.1609063717702659</v>
      </c>
      <c r="M6">
        <f t="shared" si="1"/>
        <v>1.6982000000000002E-4</v>
      </c>
    </row>
    <row r="7" spans="1:13" x14ac:dyDescent="0.25">
      <c r="A7">
        <v>400</v>
      </c>
      <c r="B7" s="3">
        <v>0.18792999999999999</v>
      </c>
      <c r="C7" s="4">
        <v>1.4451727937779035</v>
      </c>
      <c r="D7">
        <v>9.7286999999999999</v>
      </c>
      <c r="E7">
        <f>(D7*D7)/B7</f>
        <v>503.63222311498964</v>
      </c>
      <c r="F7">
        <f>E7*A7</f>
        <v>201452.88924599584</v>
      </c>
      <c r="G7">
        <f>F7/C7</f>
        <v>139397.09501406201</v>
      </c>
      <c r="H7">
        <f t="shared" si="0"/>
        <v>0.139397095014062</v>
      </c>
      <c r="K7">
        <v>0.19209772980451592</v>
      </c>
      <c r="M7">
        <f t="shared" si="1"/>
        <v>1.8793E-4</v>
      </c>
    </row>
    <row r="8" spans="1:13" x14ac:dyDescent="0.25">
      <c r="A8">
        <v>425</v>
      </c>
      <c r="B8" s="3">
        <v>0.19952</v>
      </c>
      <c r="C8" s="4">
        <v>1.4084990840748506</v>
      </c>
      <c r="D8">
        <v>11.730499999999999</v>
      </c>
      <c r="E8">
        <f>(D8*D8)/B8</f>
        <v>689.67837936046499</v>
      </c>
      <c r="F8">
        <f>E8*A8</f>
        <v>293113.31122819759</v>
      </c>
      <c r="G8">
        <f>F8/C8</f>
        <v>208103.30268743075</v>
      </c>
      <c r="H8">
        <f t="shared" si="0"/>
        <v>0.20810330268743074</v>
      </c>
      <c r="K8">
        <v>0.29197461024822946</v>
      </c>
      <c r="M8">
        <f t="shared" si="1"/>
        <v>1.9952000000000001E-4</v>
      </c>
    </row>
    <row r="9" spans="1:13" x14ac:dyDescent="0.25">
      <c r="A9">
        <v>450</v>
      </c>
      <c r="B9" s="3">
        <v>0.21230000000000004</v>
      </c>
      <c r="C9" s="4">
        <v>1.4265920544831077</v>
      </c>
      <c r="D9">
        <v>13.7171</v>
      </c>
      <c r="E9">
        <f>(D9*D9)/B9</f>
        <v>886.28748191238799</v>
      </c>
      <c r="F9">
        <f>E9*A9</f>
        <v>398829.36686057458</v>
      </c>
      <c r="G9">
        <f>F9/C9</f>
        <v>279567.91544383101</v>
      </c>
      <c r="H9">
        <f t="shared" si="0"/>
        <v>0.27956791544383103</v>
      </c>
      <c r="K9">
        <v>0.39938851077566045</v>
      </c>
      <c r="M9">
        <f t="shared" si="1"/>
        <v>2.1230000000000004E-4</v>
      </c>
    </row>
    <row r="10" spans="1:13" x14ac:dyDescent="0.25">
      <c r="A10">
        <v>475</v>
      </c>
      <c r="B10" s="3">
        <v>0.22467999999999996</v>
      </c>
      <c r="C10" s="4">
        <v>1.4250591297872945</v>
      </c>
      <c r="D10">
        <v>15.8386</v>
      </c>
      <c r="E10">
        <f>(D10*D10)/B10</f>
        <v>1116.5268379918107</v>
      </c>
      <c r="F10">
        <f>E10*A10</f>
        <v>530350.24804611003</v>
      </c>
      <c r="G10">
        <f>F10/C10</f>
        <v>372160.17003116955</v>
      </c>
      <c r="H10">
        <f t="shared" si="0"/>
        <v>0.37216017003116952</v>
      </c>
      <c r="K10">
        <v>0.54277990793788766</v>
      </c>
      <c r="M10">
        <f t="shared" si="1"/>
        <v>2.2467999999999997E-4</v>
      </c>
    </row>
    <row r="11" spans="1:13" x14ac:dyDescent="0.25">
      <c r="A11">
        <v>500</v>
      </c>
      <c r="B11" s="3">
        <v>0.23635000000000006</v>
      </c>
      <c r="C11" s="4">
        <v>1.4056963801215763</v>
      </c>
      <c r="D11">
        <v>18.1462</v>
      </c>
      <c r="E11">
        <f>(D11*D11)/B11</f>
        <v>1393.2074230590224</v>
      </c>
      <c r="F11">
        <f>E11*A11</f>
        <v>696603.71152951126</v>
      </c>
      <c r="G11">
        <f>F11/C11</f>
        <v>495557.73307836446</v>
      </c>
      <c r="H11">
        <f t="shared" si="0"/>
        <v>0.49555773307836448</v>
      </c>
      <c r="K11">
        <v>0.7374589366181572</v>
      </c>
      <c r="M11">
        <f t="shared" si="1"/>
        <v>2.3635000000000005E-4</v>
      </c>
    </row>
    <row r="12" spans="1:13" x14ac:dyDescent="0.25">
      <c r="A12">
        <v>525</v>
      </c>
      <c r="B12" s="3">
        <v>0.24803999999999998</v>
      </c>
      <c r="C12" s="4">
        <v>1.4992256884244421</v>
      </c>
      <c r="D12">
        <v>20.1282</v>
      </c>
      <c r="E12">
        <f>(D12*D12)/B12</f>
        <v>1633.3834673439769</v>
      </c>
      <c r="F12">
        <f>E12*A12</f>
        <v>857526.32035558787</v>
      </c>
      <c r="G12">
        <f>F12/C12</f>
        <v>571979.47378874931</v>
      </c>
      <c r="H12">
        <f t="shared" si="0"/>
        <v>0.57197947378874936</v>
      </c>
      <c r="K12">
        <v>0.86732711677514707</v>
      </c>
      <c r="M12">
        <f t="shared" si="1"/>
        <v>2.4803999999999999E-4</v>
      </c>
    </row>
    <row r="13" spans="1:13" x14ac:dyDescent="0.25">
      <c r="A13">
        <v>550</v>
      </c>
      <c r="B13" s="3">
        <v>0.25502999999999998</v>
      </c>
      <c r="C13" s="4">
        <v>1.4719606942033772</v>
      </c>
      <c r="D13">
        <v>22.039200000000001</v>
      </c>
      <c r="E13">
        <f>(D13*D13)/B13</f>
        <v>1904.5850944594758</v>
      </c>
      <c r="F13">
        <f>E13*A13</f>
        <v>1047521.8019527117</v>
      </c>
      <c r="G13">
        <f>F13/C13</f>
        <v>711650.66165005777</v>
      </c>
      <c r="H13">
        <f t="shared" si="0"/>
        <v>0.71165066165005775</v>
      </c>
      <c r="K13">
        <v>1.0974560523339043</v>
      </c>
      <c r="M13">
        <f t="shared" si="1"/>
        <v>2.5503E-4</v>
      </c>
    </row>
    <row r="14" spans="1:13" x14ac:dyDescent="0.25">
      <c r="A14">
        <v>575</v>
      </c>
      <c r="B14" s="3">
        <v>0.26590999999999998</v>
      </c>
      <c r="C14" s="4">
        <v>1.4584688197031848</v>
      </c>
      <c r="D14">
        <v>24.190899999999999</v>
      </c>
      <c r="E14">
        <f>(D14*D14)/B14</f>
        <v>2200.7432695648904</v>
      </c>
      <c r="F14">
        <f>E14*A14</f>
        <v>1265427.379999812</v>
      </c>
      <c r="G14">
        <f>F14/C14</f>
        <v>867641.02386319172</v>
      </c>
      <c r="H14">
        <f t="shared" si="0"/>
        <v>0.86764102386319175</v>
      </c>
      <c r="K14">
        <v>1.3615530234557907</v>
      </c>
      <c r="M14">
        <f t="shared" si="1"/>
        <v>2.6590999999999995E-4</v>
      </c>
    </row>
    <row r="15" spans="1:13" x14ac:dyDescent="0.25">
      <c r="A15">
        <v>600</v>
      </c>
      <c r="B15" s="3">
        <v>0.27815000000000001</v>
      </c>
      <c r="C15" s="4">
        <v>1.5669417099692116</v>
      </c>
      <c r="D15">
        <v>26.503900000000002</v>
      </c>
      <c r="E15">
        <f>(D15*D15)/B15</f>
        <v>2525.460058277908</v>
      </c>
      <c r="F15">
        <f>E15*A15</f>
        <v>1515276.0349667447</v>
      </c>
      <c r="G15">
        <f>F15/C15</f>
        <v>967027.69817552308</v>
      </c>
      <c r="H15">
        <f t="shared" si="0"/>
        <v>0.96702769817552303</v>
      </c>
      <c r="K15">
        <v>1.5566838247038675</v>
      </c>
      <c r="M15">
        <f t="shared" si="1"/>
        <v>2.7815000000000001E-4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B06A7-F1A1-48FF-8E19-C0FE946F995A}">
  <dimension ref="A2:K15"/>
  <sheetViews>
    <sheetView workbookViewId="0">
      <selection activeCell="A2" sqref="A2:E2"/>
    </sheetView>
  </sheetViews>
  <sheetFormatPr defaultRowHeight="15" x14ac:dyDescent="0.25"/>
  <cols>
    <col min="1" max="1" width="15.28515625" bestFit="1" customWidth="1"/>
    <col min="2" max="2" width="18.42578125" bestFit="1" customWidth="1"/>
    <col min="3" max="3" width="29.85546875" bestFit="1" customWidth="1"/>
    <col min="4" max="4" width="30.5703125" bestFit="1" customWidth="1"/>
    <col min="5" max="5" width="12" bestFit="1" customWidth="1"/>
  </cols>
  <sheetData>
    <row r="2" spans="1:11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G2" t="s">
        <v>1</v>
      </c>
      <c r="I2" t="s">
        <v>0</v>
      </c>
    </row>
    <row r="3" spans="1:11" x14ac:dyDescent="0.25">
      <c r="A3">
        <v>300</v>
      </c>
      <c r="B3" s="3">
        <v>0.23401999999999995</v>
      </c>
      <c r="C3" s="4">
        <v>1.0669259758653018</v>
      </c>
      <c r="D3">
        <v>5.8315000000000001</v>
      </c>
      <c r="E3">
        <f>(D3*D3)/B3</f>
        <v>145.31404260319636</v>
      </c>
      <c r="G3">
        <f>E3*A3</f>
        <v>43594.212780958907</v>
      </c>
      <c r="H3">
        <f>G3/C3</f>
        <v>40859.641406333729</v>
      </c>
      <c r="I3">
        <f>H3/1000000</f>
        <v>4.0859641406333726E-2</v>
      </c>
      <c r="K3">
        <v>7.2961025574826616E-2</v>
      </c>
    </row>
    <row r="4" spans="1:11" x14ac:dyDescent="0.25">
      <c r="A4">
        <v>325</v>
      </c>
      <c r="B4" s="3">
        <v>0.23877999999999996</v>
      </c>
      <c r="C4" s="4">
        <v>1.5579052769824469</v>
      </c>
      <c r="D4">
        <v>5.8312999999999997</v>
      </c>
      <c r="E4">
        <f>(D4*D4)/B4</f>
        <v>142.40748676606083</v>
      </c>
      <c r="G4">
        <f>E4*A4</f>
        <v>46282.433198969768</v>
      </c>
      <c r="H4">
        <f>G4/C4</f>
        <v>29708.117613296483</v>
      </c>
      <c r="I4">
        <f t="shared" ref="I4:I15" si="0">H4/1000000</f>
        <v>2.9708117613296482E-2</v>
      </c>
      <c r="K4">
        <v>5.528240945887454E-2</v>
      </c>
    </row>
    <row r="5" spans="1:11" x14ac:dyDescent="0.25">
      <c r="A5">
        <v>350</v>
      </c>
      <c r="B5" s="3">
        <v>0.19884000000000002</v>
      </c>
      <c r="C5" s="4">
        <v>1.4972436457263485</v>
      </c>
      <c r="D5">
        <v>6.7873000000000001</v>
      </c>
      <c r="E5">
        <f>(D5*D5)/B5</f>
        <v>231.68095599476968</v>
      </c>
      <c r="G5">
        <f>E5*A5</f>
        <v>81088.334598169386</v>
      </c>
      <c r="H5">
        <f>G5/C5</f>
        <v>54158.40957456961</v>
      </c>
      <c r="I5">
        <f t="shared" si="0"/>
        <v>5.4158409574569612E-2</v>
      </c>
      <c r="K5">
        <v>0.10109504375784738</v>
      </c>
    </row>
    <row r="6" spans="1:11" x14ac:dyDescent="0.25">
      <c r="A6">
        <v>375</v>
      </c>
      <c r="B6" s="3">
        <v>0.21636000000000002</v>
      </c>
      <c r="C6" s="4">
        <v>1.4743727979799084</v>
      </c>
      <c r="D6">
        <v>7.7556000000000003</v>
      </c>
      <c r="E6">
        <f>(D6*D6)/B6</f>
        <v>278.00578369384357</v>
      </c>
      <c r="G6">
        <f>E6*A6</f>
        <v>104252.16888519133</v>
      </c>
      <c r="H6">
        <f>G6/C6</f>
        <v>70709.503748326752</v>
      </c>
      <c r="I6">
        <f t="shared" si="0"/>
        <v>7.0709503748326755E-2</v>
      </c>
      <c r="K6">
        <v>0.13240051928523155</v>
      </c>
    </row>
    <row r="7" spans="1:11" x14ac:dyDescent="0.25">
      <c r="A7">
        <v>400</v>
      </c>
      <c r="B7" s="3">
        <v>0.23532000000000003</v>
      </c>
      <c r="C7" s="4">
        <v>1.5305939172940382</v>
      </c>
      <c r="D7">
        <v>8.8303999999999991</v>
      </c>
      <c r="E7">
        <f>(D7*D7)/B7</f>
        <v>331.36139792622805</v>
      </c>
      <c r="G7">
        <f>E7*A7</f>
        <v>132544.55917049121</v>
      </c>
      <c r="H7">
        <f>G7/C7</f>
        <v>86596.815571316838</v>
      </c>
      <c r="I7">
        <f t="shared" si="0"/>
        <v>8.6596815571316835E-2</v>
      </c>
      <c r="K7">
        <v>0.16265131816234044</v>
      </c>
    </row>
    <row r="8" spans="1:11" x14ac:dyDescent="0.25">
      <c r="A8">
        <v>425</v>
      </c>
      <c r="B8" s="3">
        <v>0.25291000000000002</v>
      </c>
      <c r="C8" s="4">
        <v>1.511771683355964</v>
      </c>
      <c r="D8">
        <v>10.7972</v>
      </c>
      <c r="E8">
        <f>(D8*D8)/B8</f>
        <v>460.95262283025579</v>
      </c>
      <c r="G8">
        <f>E8*A8</f>
        <v>195904.8647028587</v>
      </c>
      <c r="H8">
        <f>G8/C8</f>
        <v>129586.27738546592</v>
      </c>
      <c r="I8">
        <f t="shared" si="0"/>
        <v>0.12958627738546591</v>
      </c>
      <c r="K8">
        <v>0.24414863497365244</v>
      </c>
    </row>
    <row r="9" spans="1:11" x14ac:dyDescent="0.25">
      <c r="A9">
        <v>450</v>
      </c>
      <c r="B9" s="3">
        <v>0.27235999999999999</v>
      </c>
      <c r="C9" s="4">
        <v>1.5621624305796589</v>
      </c>
      <c r="D9">
        <v>12.9208</v>
      </c>
      <c r="E9">
        <f>(D9*D9)/B9</f>
        <v>612.9647255103539</v>
      </c>
      <c r="G9">
        <f>E9*A9</f>
        <v>275834.12647965923</v>
      </c>
      <c r="H9">
        <f>G9/C9</f>
        <v>176571.98834138375</v>
      </c>
      <c r="I9">
        <f t="shared" si="0"/>
        <v>0.17657198834138374</v>
      </c>
      <c r="K9">
        <v>0.33369722535647139</v>
      </c>
    </row>
    <row r="10" spans="1:11" x14ac:dyDescent="0.25">
      <c r="A10">
        <v>475</v>
      </c>
      <c r="B10" s="3">
        <v>0.28683000000000003</v>
      </c>
      <c r="C10" s="4">
        <v>1.5536891938126183</v>
      </c>
      <c r="D10">
        <v>15.131600000000001</v>
      </c>
      <c r="E10">
        <f>(D10*D10)/B10</f>
        <v>798.26140417669001</v>
      </c>
      <c r="G10">
        <f>E10*A10</f>
        <v>379174.16698392777</v>
      </c>
      <c r="H10">
        <f>G10/C10</f>
        <v>244047.63095086432</v>
      </c>
      <c r="I10">
        <f t="shared" si="0"/>
        <v>0.24404763095086432</v>
      </c>
      <c r="K10">
        <v>0.46263319544159076</v>
      </c>
    </row>
    <row r="11" spans="1:11" x14ac:dyDescent="0.25">
      <c r="A11">
        <v>500</v>
      </c>
      <c r="B11" s="3">
        <v>0.30673</v>
      </c>
      <c r="C11" s="4">
        <v>1.4839073786105157</v>
      </c>
      <c r="D11">
        <v>17.522400000000001</v>
      </c>
      <c r="E11">
        <f>(D11*D11)/B11</f>
        <v>1000.9927355002771</v>
      </c>
      <c r="G11">
        <f>E11*A11</f>
        <v>500496.36775013857</v>
      </c>
      <c r="H11">
        <f>G11/C11</f>
        <v>337282.75427728356</v>
      </c>
      <c r="I11">
        <f t="shared" si="0"/>
        <v>0.33728275427728355</v>
      </c>
      <c r="K11">
        <v>0.64133312115599506</v>
      </c>
    </row>
    <row r="12" spans="1:11" x14ac:dyDescent="0.25">
      <c r="A12">
        <v>525</v>
      </c>
      <c r="B12" s="3">
        <v>0.32162999999999997</v>
      </c>
      <c r="C12" s="4">
        <v>1.6137435611332009</v>
      </c>
      <c r="D12">
        <v>19.5184</v>
      </c>
      <c r="E12">
        <f>(D12*D12)/B12</f>
        <v>1184.4913054130523</v>
      </c>
      <c r="G12">
        <f>E12*A12</f>
        <v>621857.93534185248</v>
      </c>
      <c r="H12">
        <f>G12/C12</f>
        <v>385351.14891809219</v>
      </c>
      <c r="I12">
        <f t="shared" si="0"/>
        <v>0.38535114891809219</v>
      </c>
      <c r="K12">
        <v>0.73496978529943557</v>
      </c>
    </row>
    <row r="13" spans="1:11" x14ac:dyDescent="0.25">
      <c r="A13">
        <v>550</v>
      </c>
      <c r="B13" s="3">
        <v>0.33624000000000004</v>
      </c>
      <c r="C13" s="4">
        <v>1.6037311599736388</v>
      </c>
      <c r="D13">
        <v>21.738700000000001</v>
      </c>
      <c r="E13">
        <f>(D13*D13)/B13</f>
        <v>1405.4576424280276</v>
      </c>
      <c r="G13">
        <f>E13*A13</f>
        <v>773001.70333541522</v>
      </c>
      <c r="H13">
        <f>G13/C13</f>
        <v>482002.04786700121</v>
      </c>
      <c r="I13">
        <f t="shared" si="0"/>
        <v>0.48200204786700118</v>
      </c>
      <c r="K13">
        <v>0.92210629051105231</v>
      </c>
    </row>
    <row r="14" spans="1:11" x14ac:dyDescent="0.25">
      <c r="A14">
        <v>575</v>
      </c>
      <c r="B14" s="3">
        <v>0.35276000000000002</v>
      </c>
      <c r="C14" s="4">
        <v>1.9916035500462721</v>
      </c>
      <c r="D14">
        <v>24.058299999999999</v>
      </c>
      <c r="E14">
        <f>(D14*D14)/B14</f>
        <v>1640.780697613108</v>
      </c>
      <c r="G14">
        <f>E14*A14</f>
        <v>943448.90112753713</v>
      </c>
      <c r="H14">
        <f>G14/C14</f>
        <v>473713.20517359866</v>
      </c>
      <c r="I14">
        <f t="shared" si="0"/>
        <v>0.47371320517359866</v>
      </c>
      <c r="K14">
        <v>0.90899788142165638</v>
      </c>
    </row>
    <row r="15" spans="1:11" x14ac:dyDescent="0.25">
      <c r="A15">
        <v>600</v>
      </c>
      <c r="B15" s="3">
        <v>0.36265999999999998</v>
      </c>
      <c r="C15" s="4">
        <v>3.1863088658413927</v>
      </c>
      <c r="D15">
        <v>26.092500000000001</v>
      </c>
      <c r="E15">
        <f>(D15*D15)/B15</f>
        <v>1877.2915575194399</v>
      </c>
      <c r="G15">
        <f>E15*A15</f>
        <v>1126374.9345116639</v>
      </c>
      <c r="H15">
        <f>G15/C15</f>
        <v>353504.62931792007</v>
      </c>
      <c r="I15">
        <f t="shared" si="0"/>
        <v>0.35350462931792009</v>
      </c>
      <c r="K15">
        <v>0.6803835303604131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</vt:lpstr>
      <vt:lpstr>CSCBI-1</vt:lpstr>
      <vt:lpstr>CSCBI-3</vt:lpstr>
      <vt:lpstr>CSCBI 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dhivyacn01@gmail.com</dc:creator>
  <cp:lastModifiedBy>Dhivya Mahalakshmi C N 201688</cp:lastModifiedBy>
  <dcterms:created xsi:type="dcterms:W3CDTF">2025-02-13T09:49:52Z</dcterms:created>
  <dcterms:modified xsi:type="dcterms:W3CDTF">2026-03-30T08:37:17Z</dcterms:modified>
</cp:coreProperties>
</file>